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TD Lab's Case Data\Samples\"/>
    </mc:Choice>
  </mc:AlternateContent>
  <bookViews>
    <workbookView xWindow="0" yWindow="0" windowWidth="23040" windowHeight="9192"/>
  </bookViews>
  <sheets>
    <sheet name="Sheet1" sheetId="1" r:id="rId1"/>
  </sheets>
  <functionGroups builtInGroupCount="18"/>
  <definedNames>
    <definedName name="_xlnm.Print_Area" localSheetId="0">Sheet1!$A$1:$P$92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8" i="1" l="1"/>
  <c r="O76" i="1"/>
  <c r="O74" i="1"/>
  <c r="O72" i="1"/>
  <c r="P69" i="1"/>
  <c r="P67" i="1"/>
  <c r="P65" i="1"/>
  <c r="P63" i="1"/>
  <c r="P61" i="1"/>
  <c r="P59" i="1"/>
  <c r="P57" i="1"/>
  <c r="P55" i="1"/>
  <c r="P53" i="1"/>
  <c r="P51" i="1"/>
  <c r="P49" i="1"/>
  <c r="P47" i="1"/>
  <c r="P45" i="1"/>
  <c r="P43" i="1"/>
  <c r="P41" i="1"/>
  <c r="P39" i="1"/>
  <c r="P37" i="1"/>
  <c r="P35" i="1"/>
  <c r="P33" i="1"/>
  <c r="P31" i="1"/>
  <c r="P29" i="1"/>
  <c r="P27" i="1"/>
  <c r="P25" i="1"/>
  <c r="P23" i="1"/>
  <c r="P21" i="1"/>
  <c r="P19" i="1"/>
  <c r="P17" i="1"/>
  <c r="P15" i="1"/>
  <c r="P13" i="1"/>
  <c r="C72" i="1"/>
</calcChain>
</file>

<file path=xl/sharedStrings.xml><?xml version="1.0" encoding="utf-8"?>
<sst xmlns="http://schemas.openxmlformats.org/spreadsheetml/2006/main" count="75" uniqueCount="56">
  <si>
    <t>October, 2019</t>
  </si>
  <si>
    <t>Date</t>
  </si>
  <si>
    <t>Clinic Address</t>
  </si>
  <si>
    <t>Sr#</t>
  </si>
  <si>
    <t>Description</t>
  </si>
  <si>
    <t>Qty</t>
  </si>
  <si>
    <t>Unit Price</t>
  </si>
  <si>
    <t>Amount</t>
  </si>
  <si>
    <t>Total&gt;&gt;&gt;&gt;&gt;</t>
  </si>
  <si>
    <t>Courrior Charges</t>
  </si>
  <si>
    <t>Total Amount</t>
  </si>
  <si>
    <t>Total Amount:</t>
  </si>
  <si>
    <t>Signature</t>
  </si>
  <si>
    <t>Shade</t>
  </si>
  <si>
    <t>Deliver Date</t>
  </si>
  <si>
    <t>Order Date</t>
  </si>
  <si>
    <t>Expert-Tech Dental Lab®</t>
  </si>
  <si>
    <t>Clinic Name</t>
  </si>
  <si>
    <t>Previous Balance</t>
  </si>
  <si>
    <t>Slip No.</t>
  </si>
  <si>
    <t>Doctore Name</t>
  </si>
  <si>
    <t>Patient Name</t>
  </si>
  <si>
    <t>The Bill Amount</t>
  </si>
  <si>
    <t>Clinic Ph#</t>
  </si>
  <si>
    <t>Lahore Cantt, Pakistan +92 42 36615051, +92-342-9444901</t>
  </si>
  <si>
    <t>N.D.S</t>
  </si>
  <si>
    <t>042-35168972</t>
  </si>
  <si>
    <t>Model Town, Link Road, Lahore</t>
  </si>
  <si>
    <t>Currier Charges</t>
  </si>
  <si>
    <t>-</t>
  </si>
  <si>
    <t>Dr. Numan</t>
  </si>
  <si>
    <t>Mrs. Riffat</t>
  </si>
  <si>
    <t>PFM Upper Right 678</t>
  </si>
  <si>
    <t>A3.5</t>
  </si>
  <si>
    <t>Mrs. Najma</t>
  </si>
  <si>
    <t>PFM Lower Rigth 6</t>
  </si>
  <si>
    <t>A3</t>
  </si>
  <si>
    <t>Mrs. Ghulshan</t>
  </si>
  <si>
    <t>PFM Upper Left 567</t>
  </si>
  <si>
    <t>Ms. Fareeha</t>
  </si>
  <si>
    <t>PFM Upper Left 6</t>
  </si>
  <si>
    <t>Mrs. Shameer</t>
  </si>
  <si>
    <t>PFM Upper Left 123</t>
  </si>
  <si>
    <t>Malik Yameen</t>
  </si>
  <si>
    <t>P/D Lower Left 3-7</t>
  </si>
  <si>
    <t>Ali Zahid</t>
  </si>
  <si>
    <t>4/Retainer</t>
  </si>
  <si>
    <t>Col. Ashfaq</t>
  </si>
  <si>
    <t>Metal Crown Upper Right 6</t>
  </si>
  <si>
    <t>Nazeera</t>
  </si>
  <si>
    <t>L/P.D Lower Right 567</t>
  </si>
  <si>
    <t>Ms. Mehwish</t>
  </si>
  <si>
    <t>PFM Lower Rigth 567</t>
  </si>
  <si>
    <t>A2</t>
  </si>
  <si>
    <t>Dr. Mehboob</t>
  </si>
  <si>
    <t>PFM Upper Left 2-7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</si>
</sst>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F800]dddd\,\ mmmm\ dd\,\ yyyy"/>
    <numFmt numFmtId="165" formatCode="[$-10846]dd\-mm\-yy;@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4" fillId="0" borderId="8" xfId="0" applyFont="1" applyBorder="1"/>
    <xf numFmtId="0" fontId="4" fillId="0" borderId="0" xfId="0" applyFont="1"/>
    <xf numFmtId="0" fontId="4" fillId="0" borderId="1" xfId="0" applyFont="1" applyBorder="1"/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4" fontId="4" fillId="0" borderId="35" xfId="0" applyNumberFormat="1" applyFont="1" applyBorder="1" applyAlignment="1">
      <alignment horizontal="center" vertical="center"/>
    </xf>
    <xf numFmtId="4" fontId="4" fillId="0" borderId="2" xfId="0" applyNumberFormat="1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4" fontId="1" fillId="0" borderId="35" xfId="0" applyNumberFormat="1" applyFont="1" applyBorder="1" applyAlignment="1">
      <alignment horizontal="center" vertical="center"/>
    </xf>
    <xf numFmtId="4" fontId="1" fillId="0" borderId="2" xfId="0" applyNumberFormat="1" applyFont="1" applyBorder="1" applyAlignment="1">
      <alignment horizontal="center" vertical="center"/>
    </xf>
    <xf numFmtId="4" fontId="1" fillId="0" borderId="37" xfId="0" applyNumberFormat="1" applyFont="1" applyBorder="1" applyAlignment="1">
      <alignment horizontal="center" vertical="center"/>
    </xf>
    <xf numFmtId="4" fontId="1" fillId="0" borderId="3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4" fontId="4" fillId="0" borderId="23" xfId="0" applyNumberFormat="1" applyFont="1" applyBorder="1" applyAlignment="1">
      <alignment horizontal="center" vertical="center"/>
    </xf>
    <xf numFmtId="4" fontId="4" fillId="0" borderId="16" xfId="0" applyNumberFormat="1" applyFont="1" applyBorder="1" applyAlignment="1">
      <alignment horizontal="center" vertical="center"/>
    </xf>
    <xf numFmtId="43" fontId="4" fillId="0" borderId="27" xfId="0" applyNumberFormat="1" applyFont="1" applyBorder="1" applyAlignment="1">
      <alignment horizontal="center" vertical="center"/>
    </xf>
    <xf numFmtId="43" fontId="4" fillId="0" borderId="21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43" fontId="4" fillId="0" borderId="3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4" fontId="4" fillId="0" borderId="32" xfId="0" applyNumberFormat="1" applyFont="1" applyBorder="1" applyAlignment="1">
      <alignment horizontal="center" vertical="center"/>
    </xf>
    <xf numFmtId="4" fontId="4" fillId="0" borderId="33" xfId="0" applyNumberFormat="1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14" fontId="4" fillId="0" borderId="23" xfId="0" applyNumberFormat="1" applyFont="1" applyBorder="1" applyAlignment="1">
      <alignment horizontal="center" vertical="center"/>
    </xf>
    <xf numFmtId="14" fontId="4" fillId="0" borderId="16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165" fontId="4" fillId="0" borderId="16" xfId="0" applyNumberFormat="1" applyFont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4" fontId="4" fillId="0" borderId="0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4" fontId="4" fillId="0" borderId="8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15394</xdr:colOff>
      <xdr:row>23</xdr:row>
      <xdr:rowOff>103470</xdr:rowOff>
    </xdr:from>
    <xdr:to>
      <xdr:col>18</xdr:col>
      <xdr:colOff>276628</xdr:colOff>
      <xdr:row>29</xdr:row>
      <xdr:rowOff>61575</xdr:rowOff>
    </xdr:to>
    <xdr:sp macro="" textlink="">
      <xdr:nvSpPr>
        <xdr:cNvPr id="3" name="TextBox 2"/>
        <xdr:cNvSpPr txBox="1"/>
      </xdr:nvSpPr>
      <xdr:spPr>
        <a:xfrm flipH="1">
          <a:off x="11553152" y="4652379"/>
          <a:ext cx="869294" cy="106646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n-US" sz="1100"/>
        </a:p>
      </xdr:txBody>
    </xdr:sp>
    <xdr:clientData/>
  </xdr:twoCellAnchor>
  <xdr:twoCellAnchor>
    <xdr:from>
      <xdr:col>4</xdr:col>
      <xdr:colOff>431031</xdr:colOff>
      <xdr:row>30</xdr:row>
      <xdr:rowOff>100061</xdr:rowOff>
    </xdr:from>
    <xdr:to>
      <xdr:col>11</xdr:col>
      <xdr:colOff>515697</xdr:colOff>
      <xdr:row>52</xdr:row>
      <xdr:rowOff>138545</xdr:rowOff>
    </xdr:to>
    <xdr:sp macro="" textlink="">
      <xdr:nvSpPr>
        <xdr:cNvPr id="2" name="Oval 1"/>
        <xdr:cNvSpPr/>
      </xdr:nvSpPr>
      <xdr:spPr>
        <a:xfrm>
          <a:off x="3355879" y="5942061"/>
          <a:ext cx="4341091" cy="4102484"/>
        </a:xfrm>
        <a:prstGeom prst="ellipse">
          <a:avLst/>
        </a:prstGeom>
        <a:blipFill dpi="0" rotWithShape="1">
          <a:blip xmlns:r="http://schemas.openxmlformats.org/officeDocument/2006/relationships" r:embed="rId1">
            <a:alphaModFix amt="29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92"/>
  <sheetViews>
    <sheetView tabSelected="1" topLeftCell="A48" zoomScale="99" zoomScaleNormal="99" workbookViewId="0">
      <selection activeCell="G65" sqref="G65:H66"/>
    </sheetView>
  </sheetViews>
  <sheetFormatPr defaultRowHeight="14.4" x14ac:dyDescent="0.3"/>
  <cols>
    <col min="1" max="1" width="5.77734375" customWidth="1"/>
    <col min="2" max="2" width="9.21875" bestFit="1" customWidth="1"/>
    <col min="3" max="3" width="13" bestFit="1" customWidth="1"/>
    <col min="4" max="4" width="14.6640625" bestFit="1" customWidth="1"/>
    <col min="12" max="12" width="9.5546875" customWidth="1"/>
    <col min="14" max="14" width="10.5546875" customWidth="1"/>
    <col min="15" max="15" width="11.44140625" customWidth="1"/>
    <col min="16" max="16" width="14.21875" customWidth="1"/>
  </cols>
  <sheetData>
    <row r="1" spans="1:16" x14ac:dyDescent="0.3">
      <c r="A1" s="81" t="s">
        <v>16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</row>
    <row r="2" spans="1:16" x14ac:dyDescent="0.3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</row>
    <row r="3" spans="1:16" x14ac:dyDescent="0.3">
      <c r="A3" s="81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</row>
    <row r="4" spans="1:16" ht="26.4" thickBot="1" x14ac:dyDescent="0.35">
      <c r="A4" s="80" t="s">
        <v>0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</row>
    <row r="5" spans="1:16" ht="18" x14ac:dyDescent="0.3">
      <c r="A5" s="57" t="s">
        <v>17</v>
      </c>
      <c r="B5" s="58"/>
      <c r="C5" s="60" t="s">
        <v>25</v>
      </c>
      <c r="D5" s="60"/>
      <c r="E5" s="60"/>
      <c r="F5" s="60"/>
      <c r="G5" s="60"/>
      <c r="H5" s="60"/>
      <c r="I5" s="5"/>
      <c r="J5" s="5"/>
      <c r="K5" s="5"/>
      <c r="L5" s="58" t="s">
        <v>1</v>
      </c>
      <c r="M5" s="58"/>
      <c r="N5" s="62">
        <v>43770</v>
      </c>
      <c r="O5" s="62"/>
      <c r="P5" s="63"/>
    </row>
    <row r="6" spans="1:16" x14ac:dyDescent="0.3">
      <c r="A6" s="59"/>
      <c r="B6" s="19"/>
      <c r="C6" s="61"/>
      <c r="D6" s="61"/>
      <c r="E6" s="61"/>
      <c r="F6" s="61"/>
      <c r="G6" s="61"/>
      <c r="H6" s="61"/>
      <c r="I6" s="6"/>
      <c r="J6" s="6"/>
      <c r="K6" s="6"/>
      <c r="L6" s="19"/>
      <c r="M6" s="19"/>
      <c r="N6" s="64"/>
      <c r="O6" s="64"/>
      <c r="P6" s="65"/>
    </row>
    <row r="7" spans="1:16" ht="18" x14ac:dyDescent="0.3">
      <c r="A7" s="59" t="s">
        <v>23</v>
      </c>
      <c r="B7" s="19"/>
      <c r="C7" s="19" t="s">
        <v>26</v>
      </c>
      <c r="D7" s="19"/>
      <c r="E7" s="19"/>
      <c r="F7" s="19"/>
      <c r="G7" s="19"/>
      <c r="H7" s="19"/>
      <c r="I7" s="4"/>
      <c r="J7" s="4"/>
      <c r="K7" s="4"/>
      <c r="L7" s="19" t="s">
        <v>18</v>
      </c>
      <c r="M7" s="19"/>
      <c r="N7" s="66">
        <v>100</v>
      </c>
      <c r="O7" s="66"/>
      <c r="P7" s="67"/>
    </row>
    <row r="8" spans="1:16" x14ac:dyDescent="0.3">
      <c r="A8" s="59"/>
      <c r="B8" s="19"/>
      <c r="C8" s="19"/>
      <c r="D8" s="19"/>
      <c r="E8" s="19"/>
      <c r="F8" s="19"/>
      <c r="G8" s="19"/>
      <c r="H8" s="19"/>
      <c r="I8" s="6"/>
      <c r="J8" s="6"/>
      <c r="K8" s="6"/>
      <c r="L8" s="19"/>
      <c r="M8" s="19"/>
      <c r="N8" s="66"/>
      <c r="O8" s="66"/>
      <c r="P8" s="67"/>
    </row>
    <row r="9" spans="1:16" ht="18" x14ac:dyDescent="0.3">
      <c r="A9" s="59" t="s">
        <v>2</v>
      </c>
      <c r="B9" s="19"/>
      <c r="C9" s="19" t="s">
        <v>27</v>
      </c>
      <c r="D9" s="19"/>
      <c r="E9" s="19"/>
      <c r="F9" s="19"/>
      <c r="G9" s="19"/>
      <c r="H9" s="19"/>
      <c r="I9" s="4"/>
      <c r="J9" s="4"/>
      <c r="K9" s="4"/>
      <c r="L9" s="19" t="s">
        <v>28</v>
      </c>
      <c r="M9" s="19"/>
      <c r="N9" s="66" t="s">
        <v>29</v>
      </c>
      <c r="O9" s="66"/>
      <c r="P9" s="67"/>
    </row>
    <row r="10" spans="1:16" ht="15" thickBot="1" x14ac:dyDescent="0.35">
      <c r="A10" s="68"/>
      <c r="B10" s="69"/>
      <c r="C10" s="69"/>
      <c r="D10" s="69"/>
      <c r="E10" s="69"/>
      <c r="F10" s="69"/>
      <c r="G10" s="69"/>
      <c r="H10" s="69"/>
      <c r="I10" s="7"/>
      <c r="J10" s="7"/>
      <c r="K10" s="7"/>
      <c r="L10" s="69"/>
      <c r="M10" s="69"/>
      <c r="N10" s="70"/>
      <c r="O10" s="70"/>
      <c r="P10" s="71"/>
    </row>
    <row r="11" spans="1:16" x14ac:dyDescent="0.3">
      <c r="A11" s="72" t="s">
        <v>3</v>
      </c>
      <c r="B11" s="53" t="s">
        <v>19</v>
      </c>
      <c r="C11" s="53" t="s">
        <v>15</v>
      </c>
      <c r="D11" s="53" t="s">
        <v>14</v>
      </c>
      <c r="E11" s="74" t="s">
        <v>20</v>
      </c>
      <c r="F11" s="75"/>
      <c r="G11" s="74" t="s">
        <v>21</v>
      </c>
      <c r="H11" s="75"/>
      <c r="I11" s="74" t="s">
        <v>4</v>
      </c>
      <c r="J11" s="78"/>
      <c r="K11" s="78"/>
      <c r="L11" s="75"/>
      <c r="M11" s="53" t="s">
        <v>13</v>
      </c>
      <c r="N11" s="53" t="s">
        <v>5</v>
      </c>
      <c r="O11" s="53" t="s">
        <v>6</v>
      </c>
      <c r="P11" s="55" t="s">
        <v>7</v>
      </c>
    </row>
    <row r="12" spans="1:16" x14ac:dyDescent="0.3">
      <c r="A12" s="73"/>
      <c r="B12" s="54"/>
      <c r="C12" s="54"/>
      <c r="D12" s="54"/>
      <c r="E12" s="76"/>
      <c r="F12" s="77"/>
      <c r="G12" s="76"/>
      <c r="H12" s="77"/>
      <c r="I12" s="76"/>
      <c r="J12" s="79"/>
      <c r="K12" s="79"/>
      <c r="L12" s="77"/>
      <c r="M12" s="54"/>
      <c r="N12" s="54"/>
      <c r="O12" s="54"/>
      <c r="P12" s="56"/>
    </row>
    <row r="13" spans="1:16" x14ac:dyDescent="0.3">
      <c r="A13" s="40">
        <v>1</v>
      </c>
      <c r="B13" s="42">
        <v>5769</v>
      </c>
      <c r="C13" s="51">
        <v>43740</v>
      </c>
      <c r="D13" s="51">
        <v>43742</v>
      </c>
      <c r="E13" s="46" t="s">
        <v>30</v>
      </c>
      <c r="F13" s="47"/>
      <c r="G13" s="46" t="s">
        <v>31</v>
      </c>
      <c r="H13" s="47"/>
      <c r="I13" s="46" t="s">
        <v>32</v>
      </c>
      <c r="J13" s="18"/>
      <c r="K13" s="18"/>
      <c r="L13" s="47"/>
      <c r="M13" s="42" t="s">
        <v>33</v>
      </c>
      <c r="N13" s="42">
        <v>3</v>
      </c>
      <c r="O13" s="22">
        <v>1000</v>
      </c>
      <c r="P13" s="24">
        <f>O13*N13</f>
        <v>3000</v>
      </c>
    </row>
    <row r="14" spans="1:16" x14ac:dyDescent="0.3">
      <c r="A14" s="41"/>
      <c r="B14" s="43"/>
      <c r="C14" s="52"/>
      <c r="D14" s="52"/>
      <c r="E14" s="48"/>
      <c r="F14" s="49"/>
      <c r="G14" s="48"/>
      <c r="H14" s="49"/>
      <c r="I14" s="48"/>
      <c r="J14" s="50"/>
      <c r="K14" s="50"/>
      <c r="L14" s="49"/>
      <c r="M14" s="43"/>
      <c r="N14" s="43"/>
      <c r="O14" s="23"/>
      <c r="P14" s="25"/>
    </row>
    <row r="15" spans="1:16" x14ac:dyDescent="0.3">
      <c r="A15" s="40">
        <v>2</v>
      </c>
      <c r="B15" s="42">
        <v>5772</v>
      </c>
      <c r="C15" s="51">
        <v>43740</v>
      </c>
      <c r="D15" s="51">
        <v>43743</v>
      </c>
      <c r="E15" s="46" t="s">
        <v>29</v>
      </c>
      <c r="F15" s="47"/>
      <c r="G15" s="46" t="s">
        <v>34</v>
      </c>
      <c r="H15" s="47"/>
      <c r="I15" s="46" t="s">
        <v>35</v>
      </c>
      <c r="J15" s="18"/>
      <c r="K15" s="18"/>
      <c r="L15" s="47"/>
      <c r="M15" s="42" t="s">
        <v>36</v>
      </c>
      <c r="N15" s="42">
        <v>1</v>
      </c>
      <c r="O15" s="22">
        <v>900</v>
      </c>
      <c r="P15" s="24">
        <f t="shared" ref="P15" si="0">O15*N15</f>
        <v>900</v>
      </c>
    </row>
    <row r="16" spans="1:16" x14ac:dyDescent="0.3">
      <c r="A16" s="41"/>
      <c r="B16" s="43"/>
      <c r="C16" s="52"/>
      <c r="D16" s="52"/>
      <c r="E16" s="48"/>
      <c r="F16" s="49"/>
      <c r="G16" s="48"/>
      <c r="H16" s="49"/>
      <c r="I16" s="48"/>
      <c r="J16" s="50"/>
      <c r="K16" s="50"/>
      <c r="L16" s="49"/>
      <c r="M16" s="43"/>
      <c r="N16" s="43"/>
      <c r="O16" s="23"/>
      <c r="P16" s="25"/>
    </row>
    <row r="17" spans="1:16" x14ac:dyDescent="0.3">
      <c r="A17" s="40">
        <v>3</v>
      </c>
      <c r="B17" s="42">
        <v>5773</v>
      </c>
      <c r="C17" s="51">
        <v>43741</v>
      </c>
      <c r="D17" s="51">
        <v>43745</v>
      </c>
      <c r="E17" s="46" t="s">
        <v>29</v>
      </c>
      <c r="F17" s="47"/>
      <c r="G17" s="46" t="s">
        <v>37</v>
      </c>
      <c r="H17" s="47"/>
      <c r="I17" s="46" t="s">
        <v>38</v>
      </c>
      <c r="J17" s="18"/>
      <c r="K17" s="18"/>
      <c r="L17" s="47"/>
      <c r="M17" s="42" t="s">
        <v>29</v>
      </c>
      <c r="N17" s="42">
        <v>1</v>
      </c>
      <c r="O17" s="22">
        <v>900</v>
      </c>
      <c r="P17" s="24">
        <f t="shared" ref="P17" si="1">O17*N17</f>
        <v>900</v>
      </c>
    </row>
    <row r="18" spans="1:16" x14ac:dyDescent="0.3">
      <c r="A18" s="41"/>
      <c r="B18" s="43"/>
      <c r="C18" s="52"/>
      <c r="D18" s="52"/>
      <c r="E18" s="48"/>
      <c r="F18" s="49"/>
      <c r="G18" s="48"/>
      <c r="H18" s="49"/>
      <c r="I18" s="48"/>
      <c r="J18" s="50"/>
      <c r="K18" s="50"/>
      <c r="L18" s="49"/>
      <c r="M18" s="43"/>
      <c r="N18" s="43"/>
      <c r="O18" s="23"/>
      <c r="P18" s="25"/>
    </row>
    <row r="19" spans="1:16" x14ac:dyDescent="0.3">
      <c r="A19" s="40">
        <v>4</v>
      </c>
      <c r="B19" s="42">
        <v>5774</v>
      </c>
      <c r="C19" s="51">
        <v>43742</v>
      </c>
      <c r="D19" s="51">
        <v>43743</v>
      </c>
      <c r="E19" s="46" t="s">
        <v>29</v>
      </c>
      <c r="F19" s="47"/>
      <c r="G19" s="46" t="s">
        <v>39</v>
      </c>
      <c r="H19" s="47"/>
      <c r="I19" s="46" t="s">
        <v>40</v>
      </c>
      <c r="J19" s="18"/>
      <c r="K19" s="18"/>
      <c r="L19" s="47"/>
      <c r="M19" s="42" t="s">
        <v>36</v>
      </c>
      <c r="N19" s="42">
        <v>1</v>
      </c>
      <c r="O19" s="22">
        <v>900</v>
      </c>
      <c r="P19" s="24">
        <f t="shared" ref="P19" si="2">O19*N19</f>
        <v>900</v>
      </c>
    </row>
    <row r="20" spans="1:16" x14ac:dyDescent="0.3">
      <c r="A20" s="41"/>
      <c r="B20" s="43"/>
      <c r="C20" s="52"/>
      <c r="D20" s="52"/>
      <c r="E20" s="48"/>
      <c r="F20" s="49"/>
      <c r="G20" s="48"/>
      <c r="H20" s="49"/>
      <c r="I20" s="48"/>
      <c r="J20" s="50"/>
      <c r="K20" s="50"/>
      <c r="L20" s="49"/>
      <c r="M20" s="43"/>
      <c r="N20" s="43"/>
      <c r="O20" s="23"/>
      <c r="P20" s="25"/>
    </row>
    <row r="21" spans="1:16" x14ac:dyDescent="0.3">
      <c r="A21" s="40">
        <v>5</v>
      </c>
      <c r="B21" s="42">
        <v>5775</v>
      </c>
      <c r="C21" s="51">
        <v>43742</v>
      </c>
      <c r="D21" s="51">
        <v>43746</v>
      </c>
      <c r="E21" s="46" t="s">
        <v>29</v>
      </c>
      <c r="F21" s="47"/>
      <c r="G21" s="46" t="s">
        <v>41</v>
      </c>
      <c r="H21" s="47"/>
      <c r="I21" s="46" t="s">
        <v>42</v>
      </c>
      <c r="J21" s="18"/>
      <c r="K21" s="18"/>
      <c r="L21" s="47"/>
      <c r="M21" s="42" t="s">
        <v>33</v>
      </c>
      <c r="N21" s="42">
        <v>3</v>
      </c>
      <c r="O21" s="22">
        <v>900</v>
      </c>
      <c r="P21" s="24">
        <f t="shared" ref="P21" si="3">O21*N21</f>
        <v>2700</v>
      </c>
    </row>
    <row r="22" spans="1:16" x14ac:dyDescent="0.3">
      <c r="A22" s="41"/>
      <c r="B22" s="43"/>
      <c r="C22" s="52"/>
      <c r="D22" s="52"/>
      <c r="E22" s="48"/>
      <c r="F22" s="49"/>
      <c r="G22" s="48"/>
      <c r="H22" s="49"/>
      <c r="I22" s="48"/>
      <c r="J22" s="50"/>
      <c r="K22" s="50"/>
      <c r="L22" s="49"/>
      <c r="M22" s="43"/>
      <c r="N22" s="43"/>
      <c r="O22" s="23"/>
      <c r="P22" s="25"/>
    </row>
    <row r="23" spans="1:16" x14ac:dyDescent="0.3">
      <c r="A23" s="40">
        <v>6</v>
      </c>
      <c r="B23" s="42">
        <v>5776</v>
      </c>
      <c r="C23" s="51">
        <v>43743</v>
      </c>
      <c r="D23" s="51">
        <v>43747</v>
      </c>
      <c r="E23" s="46" t="s">
        <v>29</v>
      </c>
      <c r="F23" s="47"/>
      <c r="G23" s="46" t="s">
        <v>43</v>
      </c>
      <c r="H23" s="47"/>
      <c r="I23" s="46" t="s">
        <v>44</v>
      </c>
      <c r="J23" s="18"/>
      <c r="K23" s="18"/>
      <c r="L23" s="47"/>
      <c r="M23" s="42" t="s">
        <v>29</v>
      </c>
      <c r="N23" s="42">
        <v>5</v>
      </c>
      <c r="O23" s="22">
        <v>450</v>
      </c>
      <c r="P23" s="24">
        <f t="shared" ref="P23" si="4">O23*N23</f>
        <v>2250</v>
      </c>
    </row>
    <row r="24" spans="1:16" x14ac:dyDescent="0.3">
      <c r="A24" s="41"/>
      <c r="B24" s="43"/>
      <c r="C24" s="52"/>
      <c r="D24" s="52"/>
      <c r="E24" s="48"/>
      <c r="F24" s="49"/>
      <c r="G24" s="48"/>
      <c r="H24" s="49"/>
      <c r="I24" s="48"/>
      <c r="J24" s="50"/>
      <c r="K24" s="50"/>
      <c r="L24" s="49"/>
      <c r="M24" s="43"/>
      <c r="N24" s="43"/>
      <c r="O24" s="23"/>
      <c r="P24" s="25"/>
    </row>
    <row r="25" spans="1:16" x14ac:dyDescent="0.3">
      <c r="A25" s="40">
        <v>7</v>
      </c>
      <c r="B25" s="42">
        <v>5777</v>
      </c>
      <c r="C25" s="51">
        <v>43743</v>
      </c>
      <c r="D25" s="51">
        <v>43746</v>
      </c>
      <c r="E25" s="46" t="s">
        <v>29</v>
      </c>
      <c r="F25" s="47"/>
      <c r="G25" s="46" t="s">
        <v>45</v>
      </c>
      <c r="H25" s="47"/>
      <c r="I25" s="46" t="s">
        <v>46</v>
      </c>
      <c r="J25" s="18"/>
      <c r="K25" s="18"/>
      <c r="L25" s="47"/>
      <c r="M25" s="42" t="s">
        <v>36</v>
      </c>
      <c r="N25" s="42">
        <v>1</v>
      </c>
      <c r="O25" s="22">
        <v>800</v>
      </c>
      <c r="P25" s="24">
        <f t="shared" ref="P25" si="5">O25*N25</f>
        <v>800</v>
      </c>
    </row>
    <row r="26" spans="1:16" x14ac:dyDescent="0.3">
      <c r="A26" s="41"/>
      <c r="B26" s="43"/>
      <c r="C26" s="52"/>
      <c r="D26" s="52"/>
      <c r="E26" s="48"/>
      <c r="F26" s="49"/>
      <c r="G26" s="48"/>
      <c r="H26" s="49"/>
      <c r="I26" s="48"/>
      <c r="J26" s="50"/>
      <c r="K26" s="50"/>
      <c r="L26" s="49"/>
      <c r="M26" s="43"/>
      <c r="N26" s="43"/>
      <c r="O26" s="23"/>
      <c r="P26" s="25"/>
    </row>
    <row r="27" spans="1:16" x14ac:dyDescent="0.3">
      <c r="A27" s="40">
        <v>8</v>
      </c>
      <c r="B27" s="42">
        <v>5778</v>
      </c>
      <c r="C27" s="51">
        <v>43743</v>
      </c>
      <c r="D27" s="51">
        <v>43746</v>
      </c>
      <c r="E27" s="46" t="s">
        <v>29</v>
      </c>
      <c r="F27" s="47"/>
      <c r="G27" s="46" t="s">
        <v>47</v>
      </c>
      <c r="H27" s="47"/>
      <c r="I27" s="46" t="s">
        <v>48</v>
      </c>
      <c r="J27" s="18"/>
      <c r="K27" s="18"/>
      <c r="L27" s="47"/>
      <c r="M27" s="42" t="s">
        <v>29</v>
      </c>
      <c r="N27" s="42">
        <v>1</v>
      </c>
      <c r="O27" s="22">
        <v>800</v>
      </c>
      <c r="P27" s="24">
        <f t="shared" ref="P27" si="6">O27*N27</f>
        <v>800</v>
      </c>
    </row>
    <row r="28" spans="1:16" x14ac:dyDescent="0.3">
      <c r="A28" s="41"/>
      <c r="B28" s="43"/>
      <c r="C28" s="52"/>
      <c r="D28" s="52"/>
      <c r="E28" s="48"/>
      <c r="F28" s="49"/>
      <c r="G28" s="48"/>
      <c r="H28" s="49"/>
      <c r="I28" s="48"/>
      <c r="J28" s="50"/>
      <c r="K28" s="50"/>
      <c r="L28" s="49"/>
      <c r="M28" s="43"/>
      <c r="N28" s="43"/>
      <c r="O28" s="23"/>
      <c r="P28" s="25"/>
    </row>
    <row r="29" spans="1:16" x14ac:dyDescent="0.3">
      <c r="A29" s="40">
        <v>9</v>
      </c>
      <c r="B29" s="42">
        <v>5779</v>
      </c>
      <c r="C29" s="51">
        <v>43745</v>
      </c>
      <c r="D29" s="51">
        <v>43750</v>
      </c>
      <c r="E29" s="46" t="s">
        <v>29</v>
      </c>
      <c r="F29" s="47"/>
      <c r="G29" s="46" t="s">
        <v>49</v>
      </c>
      <c r="H29" s="47"/>
      <c r="I29" s="46" t="s">
        <v>50</v>
      </c>
      <c r="J29" s="18"/>
      <c r="K29" s="18"/>
      <c r="L29" s="47"/>
      <c r="M29" s="42" t="s">
        <v>29</v>
      </c>
      <c r="N29" s="42">
        <v>3</v>
      </c>
      <c r="O29" s="22">
        <v>450</v>
      </c>
      <c r="P29" s="24">
        <f t="shared" ref="P29" si="7">O29*N29</f>
        <v>1350</v>
      </c>
    </row>
    <row r="30" spans="1:16" x14ac:dyDescent="0.3">
      <c r="A30" s="41"/>
      <c r="B30" s="43"/>
      <c r="C30" s="52"/>
      <c r="D30" s="52"/>
      <c r="E30" s="48"/>
      <c r="F30" s="49"/>
      <c r="G30" s="48"/>
      <c r="H30" s="49"/>
      <c r="I30" s="48"/>
      <c r="J30" s="50"/>
      <c r="K30" s="50"/>
      <c r="L30" s="49"/>
      <c r="M30" s="43"/>
      <c r="N30" s="43"/>
      <c r="O30" s="23"/>
      <c r="P30" s="25"/>
    </row>
    <row r="31" spans="1:16" x14ac:dyDescent="0.3">
      <c r="A31" s="40">
        <v>10</v>
      </c>
      <c r="B31" s="42">
        <v>5780</v>
      </c>
      <c r="C31" s="51">
        <v>43745</v>
      </c>
      <c r="D31" s="51">
        <v>43747</v>
      </c>
      <c r="E31" s="46" t="s">
        <v>29</v>
      </c>
      <c r="F31" s="47"/>
      <c r="G31" s="46" t="s">
        <v>51</v>
      </c>
      <c r="H31" s="47"/>
      <c r="I31" s="46" t="s">
        <v>52</v>
      </c>
      <c r="J31" s="18"/>
      <c r="K31" s="18"/>
      <c r="L31" s="47"/>
      <c r="M31" s="42" t="s">
        <v>53</v>
      </c>
      <c r="N31" s="42">
        <v>3</v>
      </c>
      <c r="O31" s="22">
        <v>800</v>
      </c>
      <c r="P31" s="24">
        <f t="shared" ref="P31" si="8">O31*N31</f>
        <v>2400</v>
      </c>
    </row>
    <row r="32" spans="1:16" x14ac:dyDescent="0.3">
      <c r="A32" s="41"/>
      <c r="B32" s="43"/>
      <c r="C32" s="52"/>
      <c r="D32" s="52"/>
      <c r="E32" s="48"/>
      <c r="F32" s="49"/>
      <c r="G32" s="48"/>
      <c r="H32" s="49"/>
      <c r="I32" s="48"/>
      <c r="J32" s="50"/>
      <c r="K32" s="50"/>
      <c r="L32" s="49"/>
      <c r="M32" s="43"/>
      <c r="N32" s="43"/>
      <c r="O32" s="23"/>
      <c r="P32" s="25"/>
    </row>
    <row r="33" spans="1:16" x14ac:dyDescent="0.3">
      <c r="A33" s="40">
        <v>11</v>
      </c>
      <c r="B33" s="42">
        <v>5781</v>
      </c>
      <c r="C33" s="51">
        <v>43746</v>
      </c>
      <c r="D33" s="51">
        <v>43749</v>
      </c>
      <c r="E33" s="46" t="s">
        <v>29</v>
      </c>
      <c r="F33" s="47"/>
      <c r="G33" s="46" t="s">
        <v>54</v>
      </c>
      <c r="H33" s="47"/>
      <c r="I33" s="46" t="s">
        <v>55</v>
      </c>
      <c r="J33" s="18"/>
      <c r="K33" s="18"/>
      <c r="L33" s="47"/>
      <c r="M33" s="42" t="s">
        <v>53</v>
      </c>
      <c r="N33" s="42">
        <v>6</v>
      </c>
      <c r="O33" s="22">
        <v>800</v>
      </c>
      <c r="P33" s="24">
        <f t="shared" ref="P33" si="9">O33*N33</f>
        <v>4800</v>
      </c>
    </row>
    <row r="34" spans="1:16" x14ac:dyDescent="0.3">
      <c r="A34" s="41"/>
      <c r="B34" s="43"/>
      <c r="C34" s="52"/>
      <c r="D34" s="52"/>
      <c r="E34" s="48"/>
      <c r="F34" s="49"/>
      <c r="G34" s="48"/>
      <c r="H34" s="49"/>
      <c r="I34" s="48"/>
      <c r="J34" s="50"/>
      <c r="K34" s="50"/>
      <c r="L34" s="49"/>
      <c r="M34" s="43"/>
      <c r="N34" s="43"/>
      <c r="O34" s="23"/>
      <c r="P34" s="25"/>
    </row>
    <row r="35" spans="1:16" x14ac:dyDescent="0.3">
      <c r="A35" s="40"/>
      <c r="B35" s="42"/>
      <c r="C35" s="44"/>
      <c r="D35" s="42"/>
      <c r="E35" s="46"/>
      <c r="F35" s="47"/>
      <c r="G35" s="46"/>
      <c r="H35" s="47"/>
      <c r="I35" s="46"/>
      <c r="J35" s="18"/>
      <c r="K35" s="18"/>
      <c r="L35" s="47"/>
      <c r="M35" s="42"/>
      <c r="N35" s="42"/>
      <c r="O35" s="22"/>
      <c r="P35" s="24">
        <f t="shared" ref="P35" si="10">O35*N35</f>
        <v>0</v>
      </c>
    </row>
    <row r="36" spans="1:16" x14ac:dyDescent="0.3">
      <c r="A36" s="41"/>
      <c r="B36" s="43"/>
      <c r="C36" s="45"/>
      <c r="D36" s="43"/>
      <c r="E36" s="48"/>
      <c r="F36" s="49"/>
      <c r="G36" s="48"/>
      <c r="H36" s="49"/>
      <c r="I36" s="48"/>
      <c r="J36" s="50"/>
      <c r="K36" s="50"/>
      <c r="L36" s="49"/>
      <c r="M36" s="43"/>
      <c r="N36" s="43"/>
      <c r="O36" s="23"/>
      <c r="P36" s="25"/>
    </row>
    <row r="37" spans="1:16" ht="14.4" customHeight="1" x14ac:dyDescent="0.3">
      <c r="A37" s="40"/>
      <c r="B37" s="42"/>
      <c r="C37" s="44"/>
      <c r="D37" s="42"/>
      <c r="E37" s="46"/>
      <c r="F37" s="47"/>
      <c r="G37" s="46"/>
      <c r="H37" s="47"/>
      <c r="I37" s="46"/>
      <c r="J37" s="18"/>
      <c r="K37" s="18"/>
      <c r="L37" s="47"/>
      <c r="M37" s="42"/>
      <c r="N37" s="42"/>
      <c r="O37" s="22"/>
      <c r="P37" s="24">
        <f t="shared" ref="P37" si="11">O37*N37</f>
        <v>0</v>
      </c>
    </row>
    <row r="38" spans="1:16" ht="14.4" customHeight="1" x14ac:dyDescent="0.3">
      <c r="A38" s="41"/>
      <c r="B38" s="43"/>
      <c r="C38" s="45"/>
      <c r="D38" s="43"/>
      <c r="E38" s="48"/>
      <c r="F38" s="49"/>
      <c r="G38" s="48"/>
      <c r="H38" s="49"/>
      <c r="I38" s="48"/>
      <c r="J38" s="50"/>
      <c r="K38" s="50"/>
      <c r="L38" s="49"/>
      <c r="M38" s="43"/>
      <c r="N38" s="43"/>
      <c r="O38" s="23"/>
      <c r="P38" s="25"/>
    </row>
    <row r="39" spans="1:16" ht="14.4" customHeight="1" x14ac:dyDescent="0.3">
      <c r="A39" s="40"/>
      <c r="B39" s="42"/>
      <c r="C39" s="44"/>
      <c r="D39" s="42"/>
      <c r="E39" s="46"/>
      <c r="F39" s="47"/>
      <c r="G39" s="46"/>
      <c r="H39" s="47"/>
      <c r="I39" s="46"/>
      <c r="J39" s="18"/>
      <c r="K39" s="18"/>
      <c r="L39" s="47"/>
      <c r="M39" s="42"/>
      <c r="N39" s="42"/>
      <c r="O39" s="22"/>
      <c r="P39" s="24">
        <f t="shared" ref="P39" si="12">O39*N39</f>
        <v>0</v>
      </c>
    </row>
    <row r="40" spans="1:16" ht="14.4" customHeight="1" x14ac:dyDescent="0.3">
      <c r="A40" s="41"/>
      <c r="B40" s="43"/>
      <c r="C40" s="45"/>
      <c r="D40" s="43"/>
      <c r="E40" s="48"/>
      <c r="F40" s="49"/>
      <c r="G40" s="48"/>
      <c r="H40" s="49"/>
      <c r="I40" s="48"/>
      <c r="J40" s="50"/>
      <c r="K40" s="50"/>
      <c r="L40" s="49"/>
      <c r="M40" s="43"/>
      <c r="N40" s="43"/>
      <c r="O40" s="23"/>
      <c r="P40" s="25"/>
    </row>
    <row r="41" spans="1:16" ht="14.4" customHeight="1" x14ac:dyDescent="0.3">
      <c r="A41" s="40"/>
      <c r="B41" s="42"/>
      <c r="C41" s="44"/>
      <c r="D41" s="42"/>
      <c r="E41" s="46"/>
      <c r="F41" s="47"/>
      <c r="G41" s="46"/>
      <c r="H41" s="47"/>
      <c r="I41" s="46"/>
      <c r="J41" s="18"/>
      <c r="K41" s="18"/>
      <c r="L41" s="47"/>
      <c r="M41" s="42"/>
      <c r="N41" s="42"/>
      <c r="O41" s="22"/>
      <c r="P41" s="24">
        <f t="shared" ref="P41" si="13">O41*N41</f>
        <v>0</v>
      </c>
    </row>
    <row r="42" spans="1:16" ht="14.4" customHeight="1" x14ac:dyDescent="0.3">
      <c r="A42" s="41"/>
      <c r="B42" s="43"/>
      <c r="C42" s="45"/>
      <c r="D42" s="43"/>
      <c r="E42" s="48"/>
      <c r="F42" s="49"/>
      <c r="G42" s="48"/>
      <c r="H42" s="49"/>
      <c r="I42" s="48"/>
      <c r="J42" s="50"/>
      <c r="K42" s="50"/>
      <c r="L42" s="49"/>
      <c r="M42" s="43"/>
      <c r="N42" s="43"/>
      <c r="O42" s="23"/>
      <c r="P42" s="25"/>
    </row>
    <row r="43" spans="1:16" ht="14.4" customHeight="1" x14ac:dyDescent="0.3">
      <c r="A43" s="40"/>
      <c r="B43" s="42"/>
      <c r="C43" s="44"/>
      <c r="D43" s="42"/>
      <c r="E43" s="46"/>
      <c r="F43" s="47"/>
      <c r="G43" s="46"/>
      <c r="H43" s="47"/>
      <c r="I43" s="46"/>
      <c r="J43" s="18"/>
      <c r="K43" s="18"/>
      <c r="L43" s="47"/>
      <c r="M43" s="42"/>
      <c r="N43" s="42"/>
      <c r="O43" s="22"/>
      <c r="P43" s="24">
        <f t="shared" ref="P43" si="14">O43*N43</f>
        <v>0</v>
      </c>
    </row>
    <row r="44" spans="1:16" ht="14.4" customHeight="1" x14ac:dyDescent="0.3">
      <c r="A44" s="41"/>
      <c r="B44" s="43"/>
      <c r="C44" s="45"/>
      <c r="D44" s="43"/>
      <c r="E44" s="48"/>
      <c r="F44" s="49"/>
      <c r="G44" s="48"/>
      <c r="H44" s="49"/>
      <c r="I44" s="48"/>
      <c r="J44" s="50"/>
      <c r="K44" s="50"/>
      <c r="L44" s="49"/>
      <c r="M44" s="43"/>
      <c r="N44" s="43"/>
      <c r="O44" s="23"/>
      <c r="P44" s="25"/>
    </row>
    <row r="45" spans="1:16" ht="14.4" customHeight="1" x14ac:dyDescent="0.3">
      <c r="A45" s="40"/>
      <c r="B45" s="42"/>
      <c r="C45" s="44"/>
      <c r="D45" s="42"/>
      <c r="E45" s="46"/>
      <c r="F45" s="47"/>
      <c r="G45" s="46"/>
      <c r="H45" s="47"/>
      <c r="I45" s="46"/>
      <c r="J45" s="18"/>
      <c r="K45" s="18"/>
      <c r="L45" s="47"/>
      <c r="M45" s="42"/>
      <c r="N45" s="42"/>
      <c r="O45" s="22"/>
      <c r="P45" s="24">
        <f t="shared" ref="P45" si="15">O45*N45</f>
        <v>0</v>
      </c>
    </row>
    <row r="46" spans="1:16" ht="14.4" customHeight="1" x14ac:dyDescent="0.3">
      <c r="A46" s="41"/>
      <c r="B46" s="43"/>
      <c r="C46" s="45"/>
      <c r="D46" s="43"/>
      <c r="E46" s="48"/>
      <c r="F46" s="49"/>
      <c r="G46" s="48"/>
      <c r="H46" s="49"/>
      <c r="I46" s="48"/>
      <c r="J46" s="50"/>
      <c r="K46" s="50"/>
      <c r="L46" s="49"/>
      <c r="M46" s="43"/>
      <c r="N46" s="43"/>
      <c r="O46" s="23"/>
      <c r="P46" s="25"/>
    </row>
    <row r="47" spans="1:16" ht="14.4" customHeight="1" x14ac:dyDescent="0.3">
      <c r="A47" s="40"/>
      <c r="B47" s="42"/>
      <c r="C47" s="44"/>
      <c r="D47" s="42"/>
      <c r="E47" s="46"/>
      <c r="F47" s="47"/>
      <c r="G47" s="46"/>
      <c r="H47" s="47"/>
      <c r="I47" s="46"/>
      <c r="J47" s="18"/>
      <c r="K47" s="18"/>
      <c r="L47" s="47"/>
      <c r="M47" s="42"/>
      <c r="N47" s="42"/>
      <c r="O47" s="22"/>
      <c r="P47" s="24">
        <f t="shared" ref="P47" si="16">O47*N47</f>
        <v>0</v>
      </c>
    </row>
    <row r="48" spans="1:16" ht="14.4" customHeight="1" x14ac:dyDescent="0.3">
      <c r="A48" s="41"/>
      <c r="B48" s="43"/>
      <c r="C48" s="45"/>
      <c r="D48" s="43"/>
      <c r="E48" s="48"/>
      <c r="F48" s="49"/>
      <c r="G48" s="48"/>
      <c r="H48" s="49"/>
      <c r="I48" s="48"/>
      <c r="J48" s="50"/>
      <c r="K48" s="50"/>
      <c r="L48" s="49"/>
      <c r="M48" s="43"/>
      <c r="N48" s="43"/>
      <c r="O48" s="23"/>
      <c r="P48" s="25"/>
    </row>
    <row r="49" spans="1:16" ht="14.4" customHeight="1" x14ac:dyDescent="0.3">
      <c r="A49" s="40"/>
      <c r="B49" s="42"/>
      <c r="C49" s="44"/>
      <c r="D49" s="42"/>
      <c r="E49" s="46"/>
      <c r="F49" s="47"/>
      <c r="G49" s="46"/>
      <c r="H49" s="47"/>
      <c r="I49" s="46"/>
      <c r="J49" s="18"/>
      <c r="K49" s="18"/>
      <c r="L49" s="47"/>
      <c r="M49" s="42"/>
      <c r="N49" s="42"/>
      <c r="O49" s="22"/>
      <c r="P49" s="24">
        <f t="shared" ref="P49" si="17">O49*N49</f>
        <v>0</v>
      </c>
    </row>
    <row r="50" spans="1:16" ht="14.4" customHeight="1" x14ac:dyDescent="0.3">
      <c r="A50" s="41"/>
      <c r="B50" s="43"/>
      <c r="C50" s="45"/>
      <c r="D50" s="43"/>
      <c r="E50" s="48"/>
      <c r="F50" s="49"/>
      <c r="G50" s="48"/>
      <c r="H50" s="49"/>
      <c r="I50" s="48"/>
      <c r="J50" s="50"/>
      <c r="K50" s="50"/>
      <c r="L50" s="49"/>
      <c r="M50" s="43"/>
      <c r="N50" s="43"/>
      <c r="O50" s="23"/>
      <c r="P50" s="25"/>
    </row>
    <row r="51" spans="1:16" ht="14.4" customHeight="1" x14ac:dyDescent="0.3">
      <c r="A51" s="40"/>
      <c r="B51" s="42"/>
      <c r="C51" s="44"/>
      <c r="D51" s="42"/>
      <c r="E51" s="46"/>
      <c r="F51" s="47"/>
      <c r="G51" s="46"/>
      <c r="H51" s="47"/>
      <c r="I51" s="46"/>
      <c r="J51" s="18"/>
      <c r="K51" s="18"/>
      <c r="L51" s="47"/>
      <c r="M51" s="42"/>
      <c r="N51" s="42"/>
      <c r="O51" s="22"/>
      <c r="P51" s="24">
        <f t="shared" ref="P51" si="18">O51*N51</f>
        <v>0</v>
      </c>
    </row>
    <row r="52" spans="1:16" ht="14.4" customHeight="1" x14ac:dyDescent="0.3">
      <c r="A52" s="41"/>
      <c r="B52" s="43"/>
      <c r="C52" s="45"/>
      <c r="D52" s="43"/>
      <c r="E52" s="48"/>
      <c r="F52" s="49"/>
      <c r="G52" s="48"/>
      <c r="H52" s="49"/>
      <c r="I52" s="48"/>
      <c r="J52" s="50"/>
      <c r="K52" s="50"/>
      <c r="L52" s="49"/>
      <c r="M52" s="43"/>
      <c r="N52" s="43"/>
      <c r="O52" s="23"/>
      <c r="P52" s="25"/>
    </row>
    <row r="53" spans="1:16" ht="14.4" customHeight="1" x14ac:dyDescent="0.3">
      <c r="A53" s="40"/>
      <c r="B53" s="42"/>
      <c r="C53" s="44"/>
      <c r="D53" s="42"/>
      <c r="E53" s="46"/>
      <c r="F53" s="47"/>
      <c r="G53" s="46"/>
      <c r="H53" s="47"/>
      <c r="I53" s="46"/>
      <c r="J53" s="18"/>
      <c r="K53" s="18"/>
      <c r="L53" s="47"/>
      <c r="M53" s="42"/>
      <c r="N53" s="42"/>
      <c r="O53" s="22"/>
      <c r="P53" s="24">
        <f t="shared" ref="P53" si="19">O53*N53</f>
        <v>0</v>
      </c>
    </row>
    <row r="54" spans="1:16" ht="14.4" customHeight="1" x14ac:dyDescent="0.3">
      <c r="A54" s="41"/>
      <c r="B54" s="43"/>
      <c r="C54" s="45"/>
      <c r="D54" s="43"/>
      <c r="E54" s="48"/>
      <c r="F54" s="49"/>
      <c r="G54" s="48"/>
      <c r="H54" s="49"/>
      <c r="I54" s="48"/>
      <c r="J54" s="50"/>
      <c r="K54" s="50"/>
      <c r="L54" s="49"/>
      <c r="M54" s="43"/>
      <c r="N54" s="43"/>
      <c r="O54" s="23"/>
      <c r="P54" s="25"/>
    </row>
    <row r="55" spans="1:16" ht="14.4" customHeight="1" x14ac:dyDescent="0.3">
      <c r="A55" s="40"/>
      <c r="B55" s="42"/>
      <c r="C55" s="44"/>
      <c r="D55" s="42"/>
      <c r="E55" s="46"/>
      <c r="F55" s="47"/>
      <c r="G55" s="46"/>
      <c r="H55" s="47"/>
      <c r="I55" s="46"/>
      <c r="J55" s="18"/>
      <c r="K55" s="18"/>
      <c r="L55" s="47"/>
      <c r="M55" s="42"/>
      <c r="N55" s="42"/>
      <c r="O55" s="22"/>
      <c r="P55" s="24">
        <f t="shared" ref="P55" si="20">O55*N55</f>
        <v>0</v>
      </c>
    </row>
    <row r="56" spans="1:16" ht="14.4" customHeight="1" x14ac:dyDescent="0.3">
      <c r="A56" s="41"/>
      <c r="B56" s="43"/>
      <c r="C56" s="45"/>
      <c r="D56" s="43"/>
      <c r="E56" s="48"/>
      <c r="F56" s="49"/>
      <c r="G56" s="48"/>
      <c r="H56" s="49"/>
      <c r="I56" s="48"/>
      <c r="J56" s="50"/>
      <c r="K56" s="50"/>
      <c r="L56" s="49"/>
      <c r="M56" s="43"/>
      <c r="N56" s="43"/>
      <c r="O56" s="23"/>
      <c r="P56" s="25"/>
    </row>
    <row r="57" spans="1:16" ht="14.4" customHeight="1" x14ac:dyDescent="0.3">
      <c r="A57" s="40"/>
      <c r="B57" s="42"/>
      <c r="C57" s="44"/>
      <c r="D57" s="42"/>
      <c r="E57" s="46"/>
      <c r="F57" s="47"/>
      <c r="G57" s="46"/>
      <c r="H57" s="47"/>
      <c r="I57" s="46"/>
      <c r="J57" s="18"/>
      <c r="K57" s="18"/>
      <c r="L57" s="47"/>
      <c r="M57" s="42"/>
      <c r="N57" s="42"/>
      <c r="O57" s="22"/>
      <c r="P57" s="24">
        <f t="shared" ref="P57" si="21">O57*N57</f>
        <v>0</v>
      </c>
    </row>
    <row r="58" spans="1:16" ht="14.4" customHeight="1" x14ac:dyDescent="0.3">
      <c r="A58" s="41"/>
      <c r="B58" s="43"/>
      <c r="C58" s="45"/>
      <c r="D58" s="43"/>
      <c r="E58" s="48"/>
      <c r="F58" s="49"/>
      <c r="G58" s="48"/>
      <c r="H58" s="49"/>
      <c r="I58" s="48"/>
      <c r="J58" s="50"/>
      <c r="K58" s="50"/>
      <c r="L58" s="49"/>
      <c r="M58" s="43"/>
      <c r="N58" s="43"/>
      <c r="O58" s="23"/>
      <c r="P58" s="25"/>
    </row>
    <row r="59" spans="1:16" ht="14.4" customHeight="1" x14ac:dyDescent="0.3">
      <c r="A59" s="40"/>
      <c r="B59" s="42"/>
      <c r="C59" s="44"/>
      <c r="D59" s="42"/>
      <c r="E59" s="46"/>
      <c r="F59" s="47"/>
      <c r="G59" s="46"/>
      <c r="H59" s="47"/>
      <c r="I59" s="46"/>
      <c r="J59" s="18"/>
      <c r="K59" s="18"/>
      <c r="L59" s="47"/>
      <c r="M59" s="42"/>
      <c r="N59" s="42"/>
      <c r="O59" s="22"/>
      <c r="P59" s="24">
        <f t="shared" ref="P59" si="22">O59*N59</f>
        <v>0</v>
      </c>
    </row>
    <row r="60" spans="1:16" ht="14.4" customHeight="1" x14ac:dyDescent="0.3">
      <c r="A60" s="41"/>
      <c r="B60" s="43"/>
      <c r="C60" s="45"/>
      <c r="D60" s="43"/>
      <c r="E60" s="48"/>
      <c r="F60" s="49"/>
      <c r="G60" s="48"/>
      <c r="H60" s="49"/>
      <c r="I60" s="48"/>
      <c r="J60" s="50"/>
      <c r="K60" s="50"/>
      <c r="L60" s="49"/>
      <c r="M60" s="43"/>
      <c r="N60" s="43"/>
      <c r="O60" s="23"/>
      <c r="P60" s="25"/>
    </row>
    <row r="61" spans="1:16" ht="14.4" customHeight="1" x14ac:dyDescent="0.3">
      <c r="A61" s="40"/>
      <c r="B61" s="42"/>
      <c r="C61" s="44"/>
      <c r="D61" s="42"/>
      <c r="E61" s="46"/>
      <c r="F61" s="47"/>
      <c r="G61" s="46"/>
      <c r="H61" s="47"/>
      <c r="I61" s="46"/>
      <c r="J61" s="18"/>
      <c r="K61" s="18"/>
      <c r="L61" s="47"/>
      <c r="M61" s="42"/>
      <c r="N61" s="42"/>
      <c r="O61" s="22"/>
      <c r="P61" s="24">
        <f t="shared" ref="P61" si="23">O61*N61</f>
        <v>0</v>
      </c>
    </row>
    <row r="62" spans="1:16" ht="14.4" customHeight="1" x14ac:dyDescent="0.3">
      <c r="A62" s="41"/>
      <c r="B62" s="43"/>
      <c r="C62" s="45"/>
      <c r="D62" s="43"/>
      <c r="E62" s="48"/>
      <c r="F62" s="49"/>
      <c r="G62" s="48"/>
      <c r="H62" s="49"/>
      <c r="I62" s="48"/>
      <c r="J62" s="50"/>
      <c r="K62" s="50"/>
      <c r="L62" s="49"/>
      <c r="M62" s="43"/>
      <c r="N62" s="43"/>
      <c r="O62" s="23"/>
      <c r="P62" s="25"/>
    </row>
    <row r="63" spans="1:16" ht="14.4" customHeight="1" x14ac:dyDescent="0.3">
      <c r="A63" s="40"/>
      <c r="B63" s="42"/>
      <c r="C63" s="44"/>
      <c r="D63" s="42"/>
      <c r="E63" s="46"/>
      <c r="F63" s="47"/>
      <c r="G63" s="46"/>
      <c r="H63" s="47"/>
      <c r="I63" s="46"/>
      <c r="J63" s="18"/>
      <c r="K63" s="18"/>
      <c r="L63" s="47"/>
      <c r="M63" s="42"/>
      <c r="N63" s="42"/>
      <c r="O63" s="22"/>
      <c r="P63" s="24">
        <f t="shared" ref="P63" si="24">O63*N63</f>
        <v>0</v>
      </c>
    </row>
    <row r="64" spans="1:16" ht="14.4" customHeight="1" x14ac:dyDescent="0.3">
      <c r="A64" s="41"/>
      <c r="B64" s="43"/>
      <c r="C64" s="45"/>
      <c r="D64" s="43"/>
      <c r="E64" s="48"/>
      <c r="F64" s="49"/>
      <c r="G64" s="48"/>
      <c r="H64" s="49"/>
      <c r="I64" s="48"/>
      <c r="J64" s="50"/>
      <c r="K64" s="50"/>
      <c r="L64" s="49"/>
      <c r="M64" s="43"/>
      <c r="N64" s="43"/>
      <c r="O64" s="23"/>
      <c r="P64" s="25"/>
    </row>
    <row r="65" spans="1:16" ht="14.4" customHeight="1" x14ac:dyDescent="0.3">
      <c r="A65" s="40"/>
      <c r="B65" s="42"/>
      <c r="C65" s="44"/>
      <c r="D65" s="42"/>
      <c r="E65" s="46"/>
      <c r="F65" s="47"/>
      <c r="G65" s="46"/>
      <c r="H65" s="47"/>
      <c r="I65" s="46"/>
      <c r="J65" s="18"/>
      <c r="K65" s="18"/>
      <c r="L65" s="47"/>
      <c r="M65" s="42"/>
      <c r="N65" s="42"/>
      <c r="O65" s="22"/>
      <c r="P65" s="24">
        <f t="shared" ref="P65" si="25">O65*N65</f>
        <v>0</v>
      </c>
    </row>
    <row r="66" spans="1:16" ht="14.4" customHeight="1" x14ac:dyDescent="0.3">
      <c r="A66" s="41"/>
      <c r="B66" s="43"/>
      <c r="C66" s="45"/>
      <c r="D66" s="43"/>
      <c r="E66" s="48"/>
      <c r="F66" s="49"/>
      <c r="G66" s="48"/>
      <c r="H66" s="49"/>
      <c r="I66" s="48"/>
      <c r="J66" s="50"/>
      <c r="K66" s="50"/>
      <c r="L66" s="49"/>
      <c r="M66" s="43"/>
      <c r="N66" s="43"/>
      <c r="O66" s="23"/>
      <c r="P66" s="25"/>
    </row>
    <row r="67" spans="1:16" ht="14.4" customHeight="1" x14ac:dyDescent="0.3">
      <c r="A67" s="40"/>
      <c r="B67" s="42"/>
      <c r="C67" s="44"/>
      <c r="D67" s="42"/>
      <c r="E67" s="46"/>
      <c r="F67" s="47"/>
      <c r="G67" s="46"/>
      <c r="H67" s="47"/>
      <c r="I67" s="46"/>
      <c r="J67" s="18"/>
      <c r="K67" s="18"/>
      <c r="L67" s="47"/>
      <c r="M67" s="42"/>
      <c r="N67" s="42"/>
      <c r="O67" s="22"/>
      <c r="P67" s="24">
        <f t="shared" ref="P67" si="26">O67*N67</f>
        <v>0</v>
      </c>
    </row>
    <row r="68" spans="1:16" ht="14.4" customHeight="1" x14ac:dyDescent="0.3">
      <c r="A68" s="41"/>
      <c r="B68" s="43"/>
      <c r="C68" s="45"/>
      <c r="D68" s="43"/>
      <c r="E68" s="48"/>
      <c r="F68" s="49"/>
      <c r="G68" s="48"/>
      <c r="H68" s="49"/>
      <c r="I68" s="48"/>
      <c r="J68" s="50"/>
      <c r="K68" s="50"/>
      <c r="L68" s="49"/>
      <c r="M68" s="43"/>
      <c r="N68" s="43"/>
      <c r="O68" s="23"/>
      <c r="P68" s="25"/>
    </row>
    <row r="69" spans="1:16" x14ac:dyDescent="0.3">
      <c r="A69" s="26" t="s">
        <v>8</v>
      </c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8"/>
      <c r="P69" s="24">
        <f>SUM(P13:P68)</f>
        <v>20800</v>
      </c>
    </row>
    <row r="70" spans="1:16" ht="15" thickBot="1" x14ac:dyDescent="0.35">
      <c r="A70" s="29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1"/>
      <c r="P70" s="32"/>
    </row>
    <row r="71" spans="1:16" ht="15" thickBot="1" x14ac:dyDescent="0.35"/>
    <row r="72" spans="1:16" x14ac:dyDescent="0.3">
      <c r="A72" s="33" t="s">
        <v>11</v>
      </c>
      <c r="B72" s="33"/>
      <c r="C72" s="34" t="str">
        <f>SpellNumber(O78)</f>
        <v xml:space="preserve">Rupees Twenty Thousand Nine Hundred  Only </v>
      </c>
      <c r="D72" s="34"/>
      <c r="E72" s="34"/>
      <c r="F72" s="34"/>
      <c r="G72" s="34"/>
      <c r="H72" s="34"/>
      <c r="I72" s="34"/>
      <c r="J72" s="34"/>
      <c r="K72" s="34"/>
      <c r="L72" s="35"/>
      <c r="M72" s="36" t="s">
        <v>22</v>
      </c>
      <c r="N72" s="37"/>
      <c r="O72" s="38">
        <f>P69</f>
        <v>20800</v>
      </c>
      <c r="P72" s="39"/>
    </row>
    <row r="73" spans="1:16" x14ac:dyDescent="0.3">
      <c r="A73" s="33"/>
      <c r="B73" s="33"/>
      <c r="C73" s="34"/>
      <c r="D73" s="34"/>
      <c r="E73" s="34"/>
      <c r="F73" s="34"/>
      <c r="G73" s="34"/>
      <c r="H73" s="34"/>
      <c r="I73" s="34"/>
      <c r="J73" s="34"/>
      <c r="K73" s="34"/>
      <c r="L73" s="35"/>
      <c r="M73" s="8"/>
      <c r="N73" s="9"/>
      <c r="O73" s="10"/>
      <c r="P73" s="11"/>
    </row>
    <row r="74" spans="1:16" ht="18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8" t="s">
        <v>18</v>
      </c>
      <c r="N74" s="9"/>
      <c r="O74" s="10">
        <f>N7</f>
        <v>100</v>
      </c>
      <c r="P74" s="11"/>
    </row>
    <row r="75" spans="1:16" ht="18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8"/>
      <c r="N75" s="9"/>
      <c r="O75" s="10"/>
      <c r="P75" s="11"/>
    </row>
    <row r="76" spans="1:16" ht="18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8" t="s">
        <v>9</v>
      </c>
      <c r="N76" s="9"/>
      <c r="O76" s="10" t="str">
        <f>N9</f>
        <v>-</v>
      </c>
      <c r="P76" s="11"/>
    </row>
    <row r="77" spans="1:16" x14ac:dyDescent="0.3">
      <c r="M77" s="8"/>
      <c r="N77" s="9"/>
      <c r="O77" s="10"/>
      <c r="P77" s="11"/>
    </row>
    <row r="78" spans="1:16" x14ac:dyDescent="0.3">
      <c r="M78" s="8" t="s">
        <v>10</v>
      </c>
      <c r="N78" s="9"/>
      <c r="O78" s="14">
        <f>SUM(O72:P77)</f>
        <v>20900</v>
      </c>
      <c r="P78" s="15"/>
    </row>
    <row r="79" spans="1:16" ht="15" thickBot="1" x14ac:dyDescent="0.35">
      <c r="M79" s="12"/>
      <c r="N79" s="13"/>
      <c r="O79" s="16"/>
      <c r="P79" s="17"/>
    </row>
    <row r="84" spans="1:16" ht="18" x14ac:dyDescent="0.35">
      <c r="C84" s="3"/>
      <c r="D84" s="3"/>
    </row>
    <row r="85" spans="1:16" x14ac:dyDescent="0.3">
      <c r="C85" s="18" t="s">
        <v>12</v>
      </c>
      <c r="D85" s="18"/>
    </row>
    <row r="86" spans="1:16" x14ac:dyDescent="0.3">
      <c r="C86" s="19"/>
      <c r="D86" s="19"/>
    </row>
    <row r="89" spans="1:16" ht="18.600000000000001" thickBot="1" x14ac:dyDescent="0.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1:16" ht="14.4" customHeight="1" x14ac:dyDescent="0.3">
      <c r="A90" s="20" t="s">
        <v>24</v>
      </c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</row>
    <row r="91" spans="1:16" ht="14.4" customHeight="1" x14ac:dyDescent="0.3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</row>
    <row r="92" spans="1:16" x14ac:dyDescent="0.3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</row>
  </sheetData>
  <mergeCells count="347">
    <mergeCell ref="A4:P4"/>
    <mergeCell ref="A1:P3"/>
    <mergeCell ref="A15:A16"/>
    <mergeCell ref="A19:A20"/>
    <mergeCell ref="A23:A24"/>
    <mergeCell ref="A27:A28"/>
    <mergeCell ref="A31:A32"/>
    <mergeCell ref="A35:A36"/>
    <mergeCell ref="A39:A40"/>
    <mergeCell ref="B23:B24"/>
    <mergeCell ref="C23:C24"/>
    <mergeCell ref="D23:D24"/>
    <mergeCell ref="B27:B28"/>
    <mergeCell ref="C27:C28"/>
    <mergeCell ref="D27:D28"/>
    <mergeCell ref="B31:B32"/>
    <mergeCell ref="C31:C32"/>
    <mergeCell ref="D31:D32"/>
    <mergeCell ref="B35:B36"/>
    <mergeCell ref="C35:C36"/>
    <mergeCell ref="D35:D36"/>
    <mergeCell ref="B39:B40"/>
    <mergeCell ref="C39:C40"/>
    <mergeCell ref="D39:D40"/>
    <mergeCell ref="A5:B6"/>
    <mergeCell ref="C5:H6"/>
    <mergeCell ref="L5:M6"/>
    <mergeCell ref="N5:P6"/>
    <mergeCell ref="A7:B8"/>
    <mergeCell ref="C7:H8"/>
    <mergeCell ref="L7:M8"/>
    <mergeCell ref="N7:P8"/>
    <mergeCell ref="A9:B10"/>
    <mergeCell ref="C9:H10"/>
    <mergeCell ref="L9:M10"/>
    <mergeCell ref="N9:P10"/>
    <mergeCell ref="N11:N12"/>
    <mergeCell ref="O11:O12"/>
    <mergeCell ref="P11:P12"/>
    <mergeCell ref="A13:A14"/>
    <mergeCell ref="B13:B14"/>
    <mergeCell ref="C13:C14"/>
    <mergeCell ref="D13:D14"/>
    <mergeCell ref="E13:F14"/>
    <mergeCell ref="G13:H14"/>
    <mergeCell ref="I13:L14"/>
    <mergeCell ref="M13:M14"/>
    <mergeCell ref="N13:N14"/>
    <mergeCell ref="O13:O14"/>
    <mergeCell ref="P13:P14"/>
    <mergeCell ref="A11:A12"/>
    <mergeCell ref="B11:B12"/>
    <mergeCell ref="C11:C12"/>
    <mergeCell ref="D11:D12"/>
    <mergeCell ref="E11:F12"/>
    <mergeCell ref="G11:H12"/>
    <mergeCell ref="I11:L12"/>
    <mergeCell ref="M11:M12"/>
    <mergeCell ref="P15:P16"/>
    <mergeCell ref="A17:A18"/>
    <mergeCell ref="B17:B18"/>
    <mergeCell ref="C17:C18"/>
    <mergeCell ref="D17:D18"/>
    <mergeCell ref="E17:F18"/>
    <mergeCell ref="G17:H18"/>
    <mergeCell ref="I17:L18"/>
    <mergeCell ref="M17:M18"/>
    <mergeCell ref="N17:N18"/>
    <mergeCell ref="O17:O18"/>
    <mergeCell ref="P17:P18"/>
    <mergeCell ref="B15:B16"/>
    <mergeCell ref="C15:C16"/>
    <mergeCell ref="D15:D16"/>
    <mergeCell ref="E15:F16"/>
    <mergeCell ref="G15:H16"/>
    <mergeCell ref="I15:L16"/>
    <mergeCell ref="M15:M16"/>
    <mergeCell ref="N15:N16"/>
    <mergeCell ref="O15:O16"/>
    <mergeCell ref="P19:P20"/>
    <mergeCell ref="A21:A22"/>
    <mergeCell ref="B21:B22"/>
    <mergeCell ref="C21:C22"/>
    <mergeCell ref="D21:D22"/>
    <mergeCell ref="E21:F22"/>
    <mergeCell ref="G21:H22"/>
    <mergeCell ref="I21:L22"/>
    <mergeCell ref="M21:M22"/>
    <mergeCell ref="N21:N22"/>
    <mergeCell ref="O21:O22"/>
    <mergeCell ref="P21:P22"/>
    <mergeCell ref="B19:B20"/>
    <mergeCell ref="C19:C20"/>
    <mergeCell ref="D19:D20"/>
    <mergeCell ref="E19:F20"/>
    <mergeCell ref="G19:H20"/>
    <mergeCell ref="I19:L20"/>
    <mergeCell ref="M19:M20"/>
    <mergeCell ref="N19:N20"/>
    <mergeCell ref="O19:O20"/>
    <mergeCell ref="E23:F24"/>
    <mergeCell ref="G23:H24"/>
    <mergeCell ref="I23:L24"/>
    <mergeCell ref="M23:M24"/>
    <mergeCell ref="N23:N24"/>
    <mergeCell ref="O23:O24"/>
    <mergeCell ref="P23:P24"/>
    <mergeCell ref="A25:A26"/>
    <mergeCell ref="B25:B26"/>
    <mergeCell ref="C25:C26"/>
    <mergeCell ref="D25:D26"/>
    <mergeCell ref="E25:F26"/>
    <mergeCell ref="G25:H26"/>
    <mergeCell ref="I25:L26"/>
    <mergeCell ref="M25:M26"/>
    <mergeCell ref="N25:N26"/>
    <mergeCell ref="O25:O26"/>
    <mergeCell ref="P25:P26"/>
    <mergeCell ref="I27:L28"/>
    <mergeCell ref="M27:M28"/>
    <mergeCell ref="N27:N28"/>
    <mergeCell ref="O27:O28"/>
    <mergeCell ref="P27:P28"/>
    <mergeCell ref="A29:A30"/>
    <mergeCell ref="B29:B30"/>
    <mergeCell ref="C29:C30"/>
    <mergeCell ref="D29:D30"/>
    <mergeCell ref="E29:F30"/>
    <mergeCell ref="G29:H30"/>
    <mergeCell ref="I29:L30"/>
    <mergeCell ref="M29:M30"/>
    <mergeCell ref="N29:N30"/>
    <mergeCell ref="O29:O30"/>
    <mergeCell ref="P29:P30"/>
    <mergeCell ref="E27:F28"/>
    <mergeCell ref="G27:H28"/>
    <mergeCell ref="I31:L32"/>
    <mergeCell ref="M31:M32"/>
    <mergeCell ref="N31:N32"/>
    <mergeCell ref="O31:O32"/>
    <mergeCell ref="P31:P32"/>
    <mergeCell ref="A33:A34"/>
    <mergeCell ref="B33:B34"/>
    <mergeCell ref="C33:C34"/>
    <mergeCell ref="D33:D34"/>
    <mergeCell ref="E33:F34"/>
    <mergeCell ref="G33:H34"/>
    <mergeCell ref="I33:L34"/>
    <mergeCell ref="M33:M34"/>
    <mergeCell ref="N33:N34"/>
    <mergeCell ref="O33:O34"/>
    <mergeCell ref="P33:P34"/>
    <mergeCell ref="E31:F32"/>
    <mergeCell ref="G31:H32"/>
    <mergeCell ref="I35:L36"/>
    <mergeCell ref="M35:M36"/>
    <mergeCell ref="N35:N36"/>
    <mergeCell ref="O35:O36"/>
    <mergeCell ref="P35:P36"/>
    <mergeCell ref="A37:A38"/>
    <mergeCell ref="B37:B38"/>
    <mergeCell ref="C37:C38"/>
    <mergeCell ref="D37:D38"/>
    <mergeCell ref="E37:F38"/>
    <mergeCell ref="G37:H38"/>
    <mergeCell ref="I37:L38"/>
    <mergeCell ref="M37:M38"/>
    <mergeCell ref="N37:N38"/>
    <mergeCell ref="O37:O38"/>
    <mergeCell ref="P37:P38"/>
    <mergeCell ref="E35:F36"/>
    <mergeCell ref="G35:H36"/>
    <mergeCell ref="I39:L40"/>
    <mergeCell ref="M39:M40"/>
    <mergeCell ref="N39:N40"/>
    <mergeCell ref="O39:O40"/>
    <mergeCell ref="P39:P40"/>
    <mergeCell ref="A41:A42"/>
    <mergeCell ref="B41:B42"/>
    <mergeCell ref="C41:C42"/>
    <mergeCell ref="D41:D42"/>
    <mergeCell ref="E41:F42"/>
    <mergeCell ref="G41:H42"/>
    <mergeCell ref="I41:L42"/>
    <mergeCell ref="M41:M42"/>
    <mergeCell ref="N41:N42"/>
    <mergeCell ref="O41:O42"/>
    <mergeCell ref="P41:P42"/>
    <mergeCell ref="E39:F40"/>
    <mergeCell ref="G39:H40"/>
    <mergeCell ref="I43:L44"/>
    <mergeCell ref="M43:M44"/>
    <mergeCell ref="N43:N44"/>
    <mergeCell ref="O43:O44"/>
    <mergeCell ref="P43:P44"/>
    <mergeCell ref="A45:A46"/>
    <mergeCell ref="B45:B46"/>
    <mergeCell ref="C45:C46"/>
    <mergeCell ref="D45:D46"/>
    <mergeCell ref="E45:F46"/>
    <mergeCell ref="G45:H46"/>
    <mergeCell ref="I45:L46"/>
    <mergeCell ref="M45:M46"/>
    <mergeCell ref="N45:N46"/>
    <mergeCell ref="O45:O46"/>
    <mergeCell ref="P45:P46"/>
    <mergeCell ref="A43:A44"/>
    <mergeCell ref="B43:B44"/>
    <mergeCell ref="C43:C44"/>
    <mergeCell ref="D43:D44"/>
    <mergeCell ref="E43:F44"/>
    <mergeCell ref="G43:H44"/>
    <mergeCell ref="I47:L48"/>
    <mergeCell ref="M47:M48"/>
    <mergeCell ref="N47:N48"/>
    <mergeCell ref="O47:O48"/>
    <mergeCell ref="P47:P48"/>
    <mergeCell ref="A49:A50"/>
    <mergeCell ref="B49:B50"/>
    <mergeCell ref="C49:C50"/>
    <mergeCell ref="D49:D50"/>
    <mergeCell ref="E49:F50"/>
    <mergeCell ref="G49:H50"/>
    <mergeCell ref="I49:L50"/>
    <mergeCell ref="M49:M50"/>
    <mergeCell ref="N49:N50"/>
    <mergeCell ref="O49:O50"/>
    <mergeCell ref="P49:P50"/>
    <mergeCell ref="A47:A48"/>
    <mergeCell ref="B47:B48"/>
    <mergeCell ref="C47:C48"/>
    <mergeCell ref="D47:D48"/>
    <mergeCell ref="E47:F48"/>
    <mergeCell ref="G47:H48"/>
    <mergeCell ref="I51:L52"/>
    <mergeCell ref="M51:M52"/>
    <mergeCell ref="N51:N52"/>
    <mergeCell ref="O51:O52"/>
    <mergeCell ref="P51:P52"/>
    <mergeCell ref="A53:A54"/>
    <mergeCell ref="B53:B54"/>
    <mergeCell ref="C53:C54"/>
    <mergeCell ref="D53:D54"/>
    <mergeCell ref="E53:F54"/>
    <mergeCell ref="G53:H54"/>
    <mergeCell ref="I53:L54"/>
    <mergeCell ref="M53:M54"/>
    <mergeCell ref="N53:N54"/>
    <mergeCell ref="O53:O54"/>
    <mergeCell ref="P53:P54"/>
    <mergeCell ref="A51:A52"/>
    <mergeCell ref="B51:B52"/>
    <mergeCell ref="C51:C52"/>
    <mergeCell ref="D51:D52"/>
    <mergeCell ref="E51:F52"/>
    <mergeCell ref="G51:H52"/>
    <mergeCell ref="I55:L56"/>
    <mergeCell ref="M55:M56"/>
    <mergeCell ref="N55:N56"/>
    <mergeCell ref="O55:O56"/>
    <mergeCell ref="P55:P56"/>
    <mergeCell ref="A57:A58"/>
    <mergeCell ref="B57:B58"/>
    <mergeCell ref="C57:C58"/>
    <mergeCell ref="D57:D58"/>
    <mergeCell ref="E57:F58"/>
    <mergeCell ref="G57:H58"/>
    <mergeCell ref="I57:L58"/>
    <mergeCell ref="M57:M58"/>
    <mergeCell ref="N57:N58"/>
    <mergeCell ref="O57:O58"/>
    <mergeCell ref="P57:P58"/>
    <mergeCell ref="A55:A56"/>
    <mergeCell ref="B55:B56"/>
    <mergeCell ref="C55:C56"/>
    <mergeCell ref="D55:D56"/>
    <mergeCell ref="E55:F56"/>
    <mergeCell ref="G55:H56"/>
    <mergeCell ref="E59:F60"/>
    <mergeCell ref="G59:H60"/>
    <mergeCell ref="I59:L60"/>
    <mergeCell ref="M59:M60"/>
    <mergeCell ref="N59:N60"/>
    <mergeCell ref="O59:O60"/>
    <mergeCell ref="P59:P60"/>
    <mergeCell ref="A61:A62"/>
    <mergeCell ref="B61:B62"/>
    <mergeCell ref="C61:C62"/>
    <mergeCell ref="D61:D62"/>
    <mergeCell ref="E61:F62"/>
    <mergeCell ref="G61:H62"/>
    <mergeCell ref="I61:L62"/>
    <mergeCell ref="M61:M62"/>
    <mergeCell ref="N61:N62"/>
    <mergeCell ref="O61:O62"/>
    <mergeCell ref="P61:P62"/>
    <mergeCell ref="A59:A60"/>
    <mergeCell ref="B59:B60"/>
    <mergeCell ref="C59:C60"/>
    <mergeCell ref="D59:D60"/>
    <mergeCell ref="N67:N68"/>
    <mergeCell ref="P63:P64"/>
    <mergeCell ref="A65:A66"/>
    <mergeCell ref="B65:B66"/>
    <mergeCell ref="C65:C66"/>
    <mergeCell ref="D65:D66"/>
    <mergeCell ref="E65:F66"/>
    <mergeCell ref="G65:H66"/>
    <mergeCell ref="I65:L66"/>
    <mergeCell ref="M65:M66"/>
    <mergeCell ref="N65:N66"/>
    <mergeCell ref="O65:O66"/>
    <mergeCell ref="P65:P66"/>
    <mergeCell ref="B63:B64"/>
    <mergeCell ref="C63:C64"/>
    <mergeCell ref="D63:D64"/>
    <mergeCell ref="E63:F64"/>
    <mergeCell ref="G63:H64"/>
    <mergeCell ref="I63:L64"/>
    <mergeCell ref="M63:M64"/>
    <mergeCell ref="N63:N64"/>
    <mergeCell ref="O63:O64"/>
    <mergeCell ref="A63:A64"/>
    <mergeCell ref="M76:N77"/>
    <mergeCell ref="O76:P77"/>
    <mergeCell ref="M78:N79"/>
    <mergeCell ref="O78:P79"/>
    <mergeCell ref="C85:D86"/>
    <mergeCell ref="A90:P92"/>
    <mergeCell ref="O67:O68"/>
    <mergeCell ref="P67:P68"/>
    <mergeCell ref="A69:O70"/>
    <mergeCell ref="P69:P70"/>
    <mergeCell ref="A72:B73"/>
    <mergeCell ref="C72:L73"/>
    <mergeCell ref="M72:N73"/>
    <mergeCell ref="O72:P73"/>
    <mergeCell ref="M74:N75"/>
    <mergeCell ref="O74:P75"/>
    <mergeCell ref="A67:A68"/>
    <mergeCell ref="B67:B68"/>
    <mergeCell ref="C67:C68"/>
    <mergeCell ref="D67:D68"/>
    <mergeCell ref="E67:F68"/>
    <mergeCell ref="G67:H68"/>
    <mergeCell ref="I67:L68"/>
    <mergeCell ref="M67:M68"/>
  </mergeCells>
  <printOptions horizontalCentered="1" verticalCentered="1"/>
  <pageMargins left="0" right="0" top="0" bottom="0" header="0" footer="0"/>
  <pageSetup scale="56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2019-10-11T13:11:29Z</cp:lastPrinted>
  <dcterms:created xsi:type="dcterms:W3CDTF">2019-10-06T13:28:07Z</dcterms:created>
  <dcterms:modified xsi:type="dcterms:W3CDTF">2019-10-11T13:15:18Z</dcterms:modified>
</cp:coreProperties>
</file>